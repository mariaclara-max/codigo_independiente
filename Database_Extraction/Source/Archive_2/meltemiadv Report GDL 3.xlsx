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GDL\CONTEGGI - GDL\"/>
    </mc:Choice>
  </mc:AlternateContent>
  <bookViews>
    <workbookView xWindow="8145" yWindow="-60" windowWidth="15885" windowHeight="10065" tabRatio="960"/>
  </bookViews>
  <sheets>
    <sheet name="marzo-26" sheetId="58" r:id="rId1"/>
    <sheet name="febbraio-26" sheetId="57" r:id="rId2"/>
    <sheet name="gennaio-26" sheetId="56" r:id="rId3"/>
    <sheet name="Foglio1" sheetId="55" r:id="rId4"/>
  </sheets>
  <calcPr calcId="162913"/>
</workbook>
</file>

<file path=xl/calcChain.xml><?xml version="1.0" encoding="utf-8"?>
<calcChain xmlns="http://schemas.openxmlformats.org/spreadsheetml/2006/main">
  <c r="F20" i="58" l="1"/>
  <c r="F19" i="58"/>
  <c r="D30" i="58" l="1"/>
  <c r="F30" i="58" s="1"/>
  <c r="E30" i="58" s="1"/>
  <c r="D29" i="58"/>
  <c r="F29" i="58" s="1"/>
  <c r="E29" i="58" s="1"/>
  <c r="D28" i="58"/>
  <c r="F28" i="58" s="1"/>
  <c r="E28" i="58" s="1"/>
  <c r="D18" i="58" l="1"/>
  <c r="F18" i="58" s="1"/>
  <c r="D17" i="58"/>
  <c r="F17" i="58" s="1"/>
  <c r="F16" i="58"/>
  <c r="D16" i="58"/>
  <c r="D32" i="57" l="1"/>
  <c r="F32" i="57" s="1"/>
  <c r="E32" i="57" s="1"/>
  <c r="D31" i="57"/>
  <c r="F31" i="57" s="1"/>
  <c r="E31" i="57" s="1"/>
  <c r="D30" i="57"/>
  <c r="F30" i="57" s="1"/>
  <c r="E30" i="57" s="1"/>
  <c r="D29" i="57"/>
  <c r="F29" i="57" s="1"/>
  <c r="E29" i="57" s="1"/>
  <c r="F19" i="57" l="1"/>
  <c r="D19" i="57"/>
  <c r="D18" i="57"/>
  <c r="F18" i="57" s="1"/>
  <c r="D17" i="57"/>
  <c r="F17" i="57" s="1"/>
  <c r="D16" i="57"/>
  <c r="F16" i="57" s="1"/>
  <c r="F20" i="57" l="1"/>
  <c r="D30" i="56"/>
  <c r="F30" i="56" s="1"/>
  <c r="E30" i="56" s="1"/>
  <c r="D31" i="56"/>
  <c r="F31" i="56" s="1"/>
  <c r="E31" i="56" s="1"/>
  <c r="D29" i="56"/>
  <c r="F29" i="56" s="1"/>
  <c r="E29" i="56" s="1"/>
  <c r="D28" i="56"/>
  <c r="F28" i="56" s="1"/>
  <c r="E28" i="56" s="1"/>
  <c r="D27" i="56"/>
  <c r="F27" i="56" s="1"/>
  <c r="E27" i="56" s="1"/>
  <c r="D20" i="56" l="1"/>
  <c r="F20" i="56" s="1"/>
  <c r="D19" i="56"/>
  <c r="F19" i="56" s="1"/>
  <c r="D18" i="56"/>
  <c r="F18" i="56" s="1"/>
  <c r="D17" i="56"/>
  <c r="F17" i="56" s="1"/>
  <c r="D16" i="56"/>
  <c r="F16" i="56" s="1"/>
  <c r="F21" i="56" l="1"/>
</calcChain>
</file>

<file path=xl/sharedStrings.xml><?xml version="1.0" encoding="utf-8"?>
<sst xmlns="http://schemas.openxmlformats.org/spreadsheetml/2006/main" count="412" uniqueCount="230">
  <si>
    <t>Spettabile</t>
  </si>
  <si>
    <t>MELTEMI ADV SRL</t>
  </si>
  <si>
    <t>C.A.</t>
  </si>
  <si>
    <t>Sig. Francesco Mosca</t>
  </si>
  <si>
    <t>REPORT PER FATTURAZIONE</t>
  </si>
  <si>
    <t>Competenza</t>
  </si>
  <si>
    <t>gennaio-26</t>
  </si>
  <si>
    <t>Campagne attive</t>
  </si>
  <si>
    <t>Leads al netto dei doppi</t>
  </si>
  <si>
    <t>Leads          non lavorabili</t>
  </si>
  <si>
    <t>Leads a     buon fine</t>
  </si>
  <si>
    <t>Compenso a leads</t>
  </si>
  <si>
    <t>Totale da fatturare</t>
  </si>
  <si>
    <t>Imponibile</t>
  </si>
  <si>
    <t>+IVA</t>
  </si>
  <si>
    <t>DATI PER FATTURAZIONE</t>
  </si>
  <si>
    <t>GDL SpA: Via Orbetello, 54/d  - 10148 Torino - P.I. 10062800015</t>
  </si>
  <si>
    <t>MODALITA' DI PAGAMENTO</t>
  </si>
  <si>
    <t>Pagamento a 30 giorni su competenza</t>
  </si>
  <si>
    <t>INDIRIZZI SPEDIZIONE FATTURE</t>
  </si>
  <si>
    <t>Via email: amministrazione@topmediaitalia.it</t>
  </si>
  <si>
    <t>Via posta: GDL SpA - Via Orbetello, 54/d  - 10148 Torino</t>
  </si>
  <si>
    <t>Distinti Saluti,</t>
  </si>
  <si>
    <t>CINZIA BERTINO</t>
  </si>
  <si>
    <t>NOMINATIVI DOPPI VOSTRI E GIA' CENSITI NEL DATA BASE CLIENTE, PERVENUTI IN PRECEDENZA DA ALTRE FONTI:</t>
  </si>
  <si>
    <t>12-01-2026</t>
  </si>
  <si>
    <t>GREGNANIN FLAVIO</t>
  </si>
  <si>
    <t>Doppio del 12/01/2026</t>
  </si>
  <si>
    <t>briciolino50@libero.it</t>
  </si>
  <si>
    <t>FALASCO SPARTERO</t>
  </si>
  <si>
    <t>Doppio del 22/12/2025</t>
  </si>
  <si>
    <t>gifaim@alice.it</t>
  </si>
  <si>
    <t>09-01-2026</t>
  </si>
  <si>
    <t>FUOCO TERESA</t>
  </si>
  <si>
    <t>Già cliente dal 02/01/2026</t>
  </si>
  <si>
    <t>adaantonio@alice.it</t>
  </si>
  <si>
    <t>GIANCHINO GRAZIANO</t>
  </si>
  <si>
    <t>Doppio del 08/01/2026</t>
  </si>
  <si>
    <t>grazianogianchino@tiscali.it</t>
  </si>
  <si>
    <t>SCARPA PIETRO</t>
  </si>
  <si>
    <t>Già cliente dal 29/11/2025</t>
  </si>
  <si>
    <t>pietro_scarpa1940@tiscali.it</t>
  </si>
  <si>
    <t>CUCCARO LUIGI</t>
  </si>
  <si>
    <t>Doppio del 05/01/2026</t>
  </si>
  <si>
    <t>lgcuccaro3@gmail.com</t>
  </si>
  <si>
    <t>05-01-2026</t>
  </si>
  <si>
    <t>ERRICO VINCENZO</t>
  </si>
  <si>
    <t>Doppio del 31/12/2025</t>
  </si>
  <si>
    <t>verrico50@libero.it</t>
  </si>
  <si>
    <t>SCARSI BERNARDO</t>
  </si>
  <si>
    <t>Doppio del 30/12/2025</t>
  </si>
  <si>
    <t>scarsibe@libero.it</t>
  </si>
  <si>
    <t>08-01-2026</t>
  </si>
  <si>
    <t>TOSETTI RODOLFO</t>
  </si>
  <si>
    <t>Doppio del 23/12/2025</t>
  </si>
  <si>
    <t>lidia_vic@alice.it</t>
  </si>
  <si>
    <t>CASARICO FRANCO</t>
  </si>
  <si>
    <t>Già cliente dal 29/12/2025</t>
  </si>
  <si>
    <t>franco020646@alice.it</t>
  </si>
  <si>
    <t>07-01-2026</t>
  </si>
  <si>
    <t>PIRAS LUCA</t>
  </si>
  <si>
    <t>Già cliente dal 11/11/2025</t>
  </si>
  <si>
    <t>orcino@tiscali.it</t>
  </si>
  <si>
    <t>BETTINA MARCO</t>
  </si>
  <si>
    <t>Già cliente dal 03/11/2025</t>
  </si>
  <si>
    <t>marco.bettina@alice.it</t>
  </si>
  <si>
    <t>16-01-2026</t>
  </si>
  <si>
    <t>BRUNELLI LUCIANO</t>
  </si>
  <si>
    <t>Doppio del 16/01/2026</t>
  </si>
  <si>
    <t>drbrunelliluciano@gmail.com</t>
  </si>
  <si>
    <t>14-01-2026</t>
  </si>
  <si>
    <t>SORRENTI MICHELE</t>
  </si>
  <si>
    <t>michelesorrenti.1974@gmail.com</t>
  </si>
  <si>
    <t>21-01-2026</t>
  </si>
  <si>
    <t>SCARDACCHI MAURIZIO</t>
  </si>
  <si>
    <t>maurizio.scardacchi@alice.it</t>
  </si>
  <si>
    <t>20-01-2026</t>
  </si>
  <si>
    <t>TARSITANO GIUSEPPE</t>
  </si>
  <si>
    <t>Doppio del 09/12/2025</t>
  </si>
  <si>
    <t>Meltemi_3022C</t>
  </si>
  <si>
    <t>pinotarsitano@libero.it</t>
  </si>
  <si>
    <t>26-01-2026</t>
  </si>
  <si>
    <t>MARSIGLI DANIELE</t>
  </si>
  <si>
    <t>Già cliente dal 07/01/2026</t>
  </si>
  <si>
    <t>marsiglidaniele9@gmail.com</t>
  </si>
  <si>
    <t>ALTOBELLI UMBERTO</t>
  </si>
  <si>
    <t>Doppio del 02/12/2025</t>
  </si>
  <si>
    <t>servo_semplice@alice.it</t>
  </si>
  <si>
    <t>27-01-2026</t>
  </si>
  <si>
    <t>FUMAGALLI DORIANA</t>
  </si>
  <si>
    <t>Già cliente dal 12/01/2026</t>
  </si>
  <si>
    <t>dodo65df@libero.it</t>
  </si>
  <si>
    <t>ELISEO GIOVANNI</t>
  </si>
  <si>
    <t>Doppio del 09/01/2026</t>
  </si>
  <si>
    <t>gianniplanet@libero.it</t>
  </si>
  <si>
    <t>19-01-2026</t>
  </si>
  <si>
    <t>VAIR OSVALDO</t>
  </si>
  <si>
    <t>osvaldovair@alice.it</t>
  </si>
  <si>
    <t>SPALLANZANI LAURA</t>
  </si>
  <si>
    <t>Già cliente dal 19/01/2026</t>
  </si>
  <si>
    <t>lauraspallanzani@alice.it</t>
  </si>
  <si>
    <t>CIMAROSTI MARCO</t>
  </si>
  <si>
    <t>Doppio del 24/12/2025</t>
  </si>
  <si>
    <t>cimarosti@tin.it</t>
  </si>
  <si>
    <t>Doppio del 19/01/2026</t>
  </si>
  <si>
    <t>RAFFA MARCO</t>
  </si>
  <si>
    <t>bluesparty@email.it</t>
  </si>
  <si>
    <t>FUCITO GIUSEPPE</t>
  </si>
  <si>
    <t>pifucito@gmail.com</t>
  </si>
  <si>
    <t>CARLI PIETRO</t>
  </si>
  <si>
    <t>Doppio del 10/12/2025</t>
  </si>
  <si>
    <t>pocarli@alice.it</t>
  </si>
  <si>
    <t>BIASI GIOVANNI</t>
  </si>
  <si>
    <t>Doppio del 02/01/2026</t>
  </si>
  <si>
    <t>giovanni.biasi@alice.it</t>
  </si>
  <si>
    <t>BRANZANTI ENRICO</t>
  </si>
  <si>
    <t>Già cliente dal 10/01/2026</t>
  </si>
  <si>
    <t>e.branzanti@alice.it</t>
  </si>
  <si>
    <t>28-01-2026</t>
  </si>
  <si>
    <t>CASTELLO ISABELLA</t>
  </si>
  <si>
    <t>isa13caste78@gmail.com</t>
  </si>
  <si>
    <t>02-01-2026</t>
  </si>
  <si>
    <t>Già cliente dal 25/12/2025</t>
  </si>
  <si>
    <t>13-01-2026</t>
  </si>
  <si>
    <t xml:space="preserve">LEAD FAKE /       GIA' CENSITI / IRREPERIBILI </t>
  </si>
  <si>
    <t>TOTALE LEAD "NON LAVORABILI"</t>
  </si>
  <si>
    <t>% SCARTO REALE</t>
  </si>
  <si>
    <t>LEAD CHE IL CLIENTE HA POTUTO LAVORARE</t>
  </si>
  <si>
    <t>SCARTO APPLICATO</t>
  </si>
  <si>
    <t>NON RISPONDE AL  23/02/2026</t>
  </si>
  <si>
    <t>Sono state pagate tutte le lead, al netto dei doppi e già censiti</t>
  </si>
  <si>
    <t>TORINO lì, 24 febbraio 2026</t>
  </si>
  <si>
    <t>CALDAIE ARIEL (224-23DOPPI=201)</t>
  </si>
  <si>
    <t>CALDAIE ARIEL</t>
  </si>
  <si>
    <t>BAGNI ITALIANI (77-6DOPPI=71)</t>
  </si>
  <si>
    <t>BAGNI ITALIANI</t>
  </si>
  <si>
    <t>CLIMA ARIEL (47-1DOPPIO=46)</t>
  </si>
  <si>
    <t>CLIMA ARIEL</t>
  </si>
  <si>
    <t>STUFA ARIEL (45-5DOPPI=40)</t>
  </si>
  <si>
    <t>STUFA ARIEL</t>
  </si>
  <si>
    <t>DOCCE REMAIL</t>
  </si>
  <si>
    <t>febbraio-26</t>
  </si>
  <si>
    <t>18-02-2026</t>
  </si>
  <si>
    <t>SABINO ROSA</t>
  </si>
  <si>
    <t>sabino.rosa@libero.it</t>
  </si>
  <si>
    <t>DAVÌ DARIO</t>
  </si>
  <si>
    <t>Doppio del 26/11/2025</t>
  </si>
  <si>
    <t>dariodavik@virgilio.it</t>
  </si>
  <si>
    <t>10-02-2026</t>
  </si>
  <si>
    <t>CARTA RITA</t>
  </si>
  <si>
    <t>Doppio del 06/02/2026</t>
  </si>
  <si>
    <t>carta_rita@tiscali.it</t>
  </si>
  <si>
    <t>MOUSSAIDI MOSTAFA</t>
  </si>
  <si>
    <t>Già cliente dal 04/02/2026</t>
  </si>
  <si>
    <t>mostafa63@libero.it</t>
  </si>
  <si>
    <t>06-02-2026</t>
  </si>
  <si>
    <t>POVOLI VITTORIO</t>
  </si>
  <si>
    <t>vito.povo-72@virgilio.it</t>
  </si>
  <si>
    <t>05-02-2026</t>
  </si>
  <si>
    <t>ALARICAO MANUEL</t>
  </si>
  <si>
    <t>Doppio del 20/11/2025</t>
  </si>
  <si>
    <t>emanuele.talarico69@gmail.com</t>
  </si>
  <si>
    <t>04-02-2026</t>
  </si>
  <si>
    <t>MACRÌ VINCENZO</t>
  </si>
  <si>
    <t>Doppio del 28/11/2025</t>
  </si>
  <si>
    <t>macri.e@tiscali.it</t>
  </si>
  <si>
    <t>GIARRATANA ATTILIO</t>
  </si>
  <si>
    <t>Doppio del 15/01/2026</t>
  </si>
  <si>
    <t>et_gitano@libero.it</t>
  </si>
  <si>
    <t>27-02-2026</t>
  </si>
  <si>
    <t>SAMÀ FRANCESCO</t>
  </si>
  <si>
    <t>Doppio del 23/02/2026</t>
  </si>
  <si>
    <t>frama74@email.it</t>
  </si>
  <si>
    <t>12-02-2026</t>
  </si>
  <si>
    <t>TALARICO EMANUELE</t>
  </si>
  <si>
    <t>Doppio del 05/02/2026</t>
  </si>
  <si>
    <t>28-02-2026</t>
  </si>
  <si>
    <t>PORTOGHESE RAFFAELE</t>
  </si>
  <si>
    <t>Doppio del 04/02/2026</t>
  </si>
  <si>
    <t>raffaeleportoghese@libero.it</t>
  </si>
  <si>
    <t>16-02-2026</t>
  </si>
  <si>
    <t>D'AMATO SALVATORE</t>
  </si>
  <si>
    <t>diopatriaefamiglia@alice.it</t>
  </si>
  <si>
    <t>17-02-2026</t>
  </si>
  <si>
    <t>PUSCEDDU ENRICO</t>
  </si>
  <si>
    <t>Doppio del 11/02/2026</t>
  </si>
  <si>
    <t>enrico_fax69@tiscali.it</t>
  </si>
  <si>
    <t>VENTIMIGLIA GIOVANNA</t>
  </si>
  <si>
    <t>giovannaventimiglia@libero.it</t>
  </si>
  <si>
    <t>TROINA GIOSUÈ ANTONIO</t>
  </si>
  <si>
    <t>Già cliente dal 28/01/2026</t>
  </si>
  <si>
    <t>giosuetroina@libero.it</t>
  </si>
  <si>
    <t>TORINO lì, 23 marzo 2026</t>
  </si>
  <si>
    <t>NON RISPONDE AL  23/03/2026</t>
  </si>
  <si>
    <t>(CALDAIE ARIEL) - Scarto TRASH TOTALI al netto dei doppi e già censiti</t>
  </si>
  <si>
    <t>(BAGNI ITALIANI) - Scarto TRASH TOTALI al netto dei doppi e già censiti</t>
  </si>
  <si>
    <t>(CLIMA ARIEL) - Scarto TRASH TOTALI al netto dei doppi e già censiti</t>
  </si>
  <si>
    <t>(DOCCE REMAIL) - Scarto TRASH TOTALI al netto dei doppi e già censiti</t>
  </si>
  <si>
    <t>CALDAIE ARIEL (20-2DOPPI=18)</t>
  </si>
  <si>
    <t>CLIMA ARIEL (110-13DOPPI=97)</t>
  </si>
  <si>
    <t>marzo-26</t>
  </si>
  <si>
    <t>04-03-2026</t>
  </si>
  <si>
    <t>PAOLI ELSA</t>
  </si>
  <si>
    <t>Doppio del 05/11/2025</t>
  </si>
  <si>
    <t>elsapaoli@virgilio.it</t>
  </si>
  <si>
    <t>05-03-2026</t>
  </si>
  <si>
    <t>MARTELLINI MARIA TERESA</t>
  </si>
  <si>
    <t>Doppio del 09/02/2026</t>
  </si>
  <si>
    <t>mariamartellini@yahoo.it</t>
  </si>
  <si>
    <t>16-03-2026</t>
  </si>
  <si>
    <t>STRINO FULVIO</t>
  </si>
  <si>
    <t>Doppio del 26/01/2026</t>
  </si>
  <si>
    <t>fulviostrino@alice.it</t>
  </si>
  <si>
    <t>ROMEO GIUSEPPE</t>
  </si>
  <si>
    <t>Già cliente dal 16/03/2026</t>
  </si>
  <si>
    <t>romeogiugiu@alice.it</t>
  </si>
  <si>
    <t>13-03-2026</t>
  </si>
  <si>
    <t>ACCORSO SEBASTIANO</t>
  </si>
  <si>
    <t>Già cliente dal 12/02/2026</t>
  </si>
  <si>
    <t>sebastiano.accorso@alice.it</t>
  </si>
  <si>
    <t>TORSELLI CARLA</t>
  </si>
  <si>
    <t>Già cliente dal 13/03/2026</t>
  </si>
  <si>
    <t>carla.torselli@alice.it</t>
  </si>
  <si>
    <t>NON RISPONDE AL  20/04/2026</t>
  </si>
  <si>
    <t xml:space="preserve">BAGNI ITALIANI </t>
  </si>
  <si>
    <t>CLIMA ARIEL (61-5DOPPI=56)</t>
  </si>
  <si>
    <t>DOCCE REMAIL (30-1DOPPIO=29)</t>
  </si>
  <si>
    <t>TORINO lì, 22 aprile 2026</t>
  </si>
  <si>
    <t>anziché lo scarto reale (vedi sotto)</t>
  </si>
  <si>
    <t>Bonus qualità su campagna DOCCE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</si>
</sst>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€&quot;\ #,##0.00"/>
  </numFmts>
  <fonts count="5" x14ac:knownFonts="1">
    <font>
      <sz val="10"/>
      <name val="Arial"/>
    </font>
    <font>
      <sz val="10"/>
      <name val="Calibri"/>
      <family val="2"/>
    </font>
    <font>
      <b/>
      <sz val="10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/>
    <xf numFmtId="0" fontId="2" fillId="0" borderId="0" xfId="0" applyFont="1" applyAlignment="1">
      <alignment horizontal="right"/>
    </xf>
    <xf numFmtId="164" fontId="2" fillId="2" borderId="1" xfId="0" applyNumberFormat="1" applyFont="1" applyFill="1" applyBorder="1" applyAlignment="1">
      <alignment horizontal="right" vertical="center" wrapText="1"/>
    </xf>
    <xf numFmtId="0" fontId="1" fillId="0" borderId="0" xfId="0" quotePrefix="1" applyFont="1"/>
    <xf numFmtId="0" fontId="2" fillId="2" borderId="3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1" fillId="4" borderId="1" xfId="0" applyFont="1" applyFill="1" applyBorder="1"/>
    <xf numFmtId="9" fontId="1" fillId="5" borderId="4" xfId="0" applyNumberFormat="1" applyFont="1" applyFill="1" applyBorder="1"/>
    <xf numFmtId="0" fontId="4" fillId="3" borderId="0" xfId="0" applyFont="1" applyFill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right" vertical="center" wrapText="1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center"/>
    </xf>
    <xf numFmtId="164" fontId="1" fillId="6" borderId="1" xfId="0" applyNumberFormat="1" applyFont="1" applyFill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H:\GDL\CONTEGGI%20-%20GDL\MASTER\Logo.jpg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file:///H:\GDL\CONTEGGI%20-%20GDL\MASTER\Logo.jpg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file:///H:\GDL\CONTEGGI%20-%20GDL\MASTER\Logo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1016000</xdr:colOff>
      <xdr:row>6</xdr:row>
      <xdr:rowOff>44450</xdr:rowOff>
    </xdr:to>
    <xdr:pic>
      <xdr:nvPicPr>
        <xdr:cNvPr id="2" name="Logo"/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01600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1016000</xdr:colOff>
      <xdr:row>6</xdr:row>
      <xdr:rowOff>44450</xdr:rowOff>
    </xdr:to>
    <xdr:pic>
      <xdr:nvPicPr>
        <xdr:cNvPr id="2" name="Logo"/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016000" cy="1016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1016000</xdr:colOff>
      <xdr:row>6</xdr:row>
      <xdr:rowOff>44450</xdr:rowOff>
    </xdr:to>
    <xdr:pic>
      <xdr:nvPicPr>
        <xdr:cNvPr id="2" name="Logo"/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016000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I53"/>
  <sheetViews>
    <sheetView tabSelected="1" topLeftCell="A10" workbookViewId="0">
      <selection activeCell="H15" sqref="H15:J20"/>
    </sheetView>
  </sheetViews>
  <sheetFormatPr defaultRowHeight="12.75" x14ac:dyDescent="0.2"/>
  <cols>
    <col min="1" max="1" width="29.42578125" style="1" customWidth="1"/>
    <col min="2" max="6" width="12.7109375" style="1" customWidth="1"/>
    <col min="7" max="16384" width="9.140625" style="1"/>
  </cols>
  <sheetData>
    <row r="9" spans="1:6" x14ac:dyDescent="0.2">
      <c r="A9" s="1" t="s">
        <v>227</v>
      </c>
      <c r="C9" s="1" t="s">
        <v>0</v>
      </c>
      <c r="D9" s="2" t="s">
        <v>1</v>
      </c>
    </row>
    <row r="10" spans="1:6" x14ac:dyDescent="0.2">
      <c r="C10" s="1" t="s">
        <v>2</v>
      </c>
      <c r="D10" s="1" t="s">
        <v>3</v>
      </c>
    </row>
    <row r="13" spans="1:6" x14ac:dyDescent="0.2">
      <c r="A13" s="1" t="s">
        <v>4</v>
      </c>
      <c r="D13" s="1" t="s">
        <v>5</v>
      </c>
      <c r="E13" s="2" t="s">
        <v>200</v>
      </c>
    </row>
    <row r="15" spans="1:6" ht="25.5" x14ac:dyDescent="0.2">
      <c r="A15" s="3" t="s">
        <v>7</v>
      </c>
      <c r="B15" s="3" t="s">
        <v>8</v>
      </c>
      <c r="C15" s="3" t="s">
        <v>9</v>
      </c>
      <c r="D15" s="3" t="s">
        <v>10</v>
      </c>
      <c r="E15" s="3" t="s">
        <v>11</v>
      </c>
      <c r="F15" s="3" t="s">
        <v>12</v>
      </c>
    </row>
    <row r="16" spans="1:6" x14ac:dyDescent="0.2">
      <c r="A16" s="7" t="s">
        <v>224</v>
      </c>
      <c r="B16" s="8">
        <v>3</v>
      </c>
      <c r="C16" s="8">
        <v>0</v>
      </c>
      <c r="D16" s="8">
        <f>B16-C16</f>
        <v>3</v>
      </c>
      <c r="E16" s="9">
        <v>20</v>
      </c>
      <c r="F16" s="9">
        <f>E16*D16</f>
        <v>60</v>
      </c>
    </row>
    <row r="17" spans="1:6" x14ac:dyDescent="0.2">
      <c r="A17" s="7" t="s">
        <v>225</v>
      </c>
      <c r="B17" s="8">
        <v>56</v>
      </c>
      <c r="C17" s="8">
        <v>0</v>
      </c>
      <c r="D17" s="8">
        <f>B17-C17</f>
        <v>56</v>
      </c>
      <c r="E17" s="9">
        <v>10</v>
      </c>
      <c r="F17" s="9">
        <f>E17*D17</f>
        <v>560</v>
      </c>
    </row>
    <row r="18" spans="1:6" x14ac:dyDescent="0.2">
      <c r="A18" s="4" t="s">
        <v>226</v>
      </c>
      <c r="B18" s="5">
        <v>29</v>
      </c>
      <c r="C18" s="5">
        <v>0</v>
      </c>
      <c r="D18" s="5">
        <f>B18-C18</f>
        <v>29</v>
      </c>
      <c r="E18" s="6">
        <v>20</v>
      </c>
      <c r="F18" s="9">
        <f>E18*D18</f>
        <v>580</v>
      </c>
    </row>
    <row r="19" spans="1:6" x14ac:dyDescent="0.2">
      <c r="A19" s="21" t="s">
        <v>229</v>
      </c>
      <c r="B19" s="22"/>
      <c r="C19" s="22"/>
      <c r="D19" s="22">
        <v>225</v>
      </c>
      <c r="E19" s="23">
        <v>20</v>
      </c>
      <c r="F19" s="23">
        <f>E19*D19</f>
        <v>4500</v>
      </c>
    </row>
    <row r="20" spans="1:6" x14ac:dyDescent="0.2">
      <c r="E20" s="10" t="s">
        <v>13</v>
      </c>
      <c r="F20" s="20">
        <f>SUM(F16:F19)</f>
        <v>5700</v>
      </c>
    </row>
    <row r="21" spans="1:6" x14ac:dyDescent="0.2">
      <c r="F21" s="10" t="s">
        <v>14</v>
      </c>
    </row>
    <row r="22" spans="1:6" x14ac:dyDescent="0.2">
      <c r="A22" s="24" t="s">
        <v>128</v>
      </c>
      <c r="B22" s="25"/>
      <c r="C22" s="25"/>
      <c r="D22" s="26"/>
    </row>
    <row r="23" spans="1:6" x14ac:dyDescent="0.2">
      <c r="A23" s="1" t="s">
        <v>130</v>
      </c>
    </row>
    <row r="24" spans="1:6" x14ac:dyDescent="0.2">
      <c r="A24" s="1" t="s">
        <v>228</v>
      </c>
    </row>
    <row r="27" spans="1:6" ht="51" x14ac:dyDescent="0.2">
      <c r="A27" s="3" t="s">
        <v>7</v>
      </c>
      <c r="B27" s="3" t="s">
        <v>223</v>
      </c>
      <c r="C27" s="3" t="s">
        <v>124</v>
      </c>
      <c r="D27" s="3" t="s">
        <v>125</v>
      </c>
      <c r="E27" s="19" t="s">
        <v>126</v>
      </c>
      <c r="F27" s="14" t="s">
        <v>127</v>
      </c>
    </row>
    <row r="28" spans="1:6" x14ac:dyDescent="0.2">
      <c r="A28" s="7" t="s">
        <v>135</v>
      </c>
      <c r="B28" s="4">
        <v>0</v>
      </c>
      <c r="C28" s="4">
        <v>0</v>
      </c>
      <c r="D28" s="15">
        <f>SUM(B28+C28)</f>
        <v>0</v>
      </c>
      <c r="E28" s="16">
        <f>SUM(B16-F28)/B16</f>
        <v>0</v>
      </c>
      <c r="F28" s="17">
        <f>SUM(B16-D28)</f>
        <v>3</v>
      </c>
    </row>
    <row r="29" spans="1:6" x14ac:dyDescent="0.2">
      <c r="A29" s="7" t="s">
        <v>137</v>
      </c>
      <c r="B29" s="4">
        <v>10</v>
      </c>
      <c r="C29" s="4">
        <v>7</v>
      </c>
      <c r="D29" s="15">
        <f t="shared" ref="D29:D30" si="0">SUM(B29+C29)</f>
        <v>17</v>
      </c>
      <c r="E29" s="16">
        <f>SUM(B17-F29)/B17</f>
        <v>0.30357142857142855</v>
      </c>
      <c r="F29" s="17">
        <f>SUM(B17-D29)</f>
        <v>39</v>
      </c>
    </row>
    <row r="30" spans="1:6" x14ac:dyDescent="0.2">
      <c r="A30" s="4" t="s">
        <v>140</v>
      </c>
      <c r="B30" s="4">
        <v>5</v>
      </c>
      <c r="C30" s="4">
        <v>5</v>
      </c>
      <c r="D30" s="15">
        <f t="shared" si="0"/>
        <v>10</v>
      </c>
      <c r="E30" s="16">
        <f>SUM(B18-F30)/B18</f>
        <v>0.34482758620689657</v>
      </c>
      <c r="F30" s="17">
        <f>SUM(B18-D30)</f>
        <v>19</v>
      </c>
    </row>
    <row r="34" spans="1:9" x14ac:dyDescent="0.2">
      <c r="A34" s="2" t="s">
        <v>15</v>
      </c>
    </row>
    <row r="35" spans="1:9" x14ac:dyDescent="0.2">
      <c r="A35" s="1" t="s">
        <v>16</v>
      </c>
    </row>
    <row r="36" spans="1:9" x14ac:dyDescent="0.2">
      <c r="A36" s="2" t="s">
        <v>17</v>
      </c>
    </row>
    <row r="37" spans="1:9" x14ac:dyDescent="0.2">
      <c r="A37" s="1" t="s">
        <v>18</v>
      </c>
    </row>
    <row r="39" spans="1:9" x14ac:dyDescent="0.2">
      <c r="A39" s="2" t="s">
        <v>19</v>
      </c>
    </row>
    <row r="40" spans="1:9" x14ac:dyDescent="0.2">
      <c r="A40" s="1" t="s">
        <v>20</v>
      </c>
    </row>
    <row r="41" spans="1:9" x14ac:dyDescent="0.2">
      <c r="A41" s="1" t="s">
        <v>21</v>
      </c>
    </row>
    <row r="43" spans="1:9" x14ac:dyDescent="0.2">
      <c r="A43" s="1" t="s">
        <v>22</v>
      </c>
    </row>
    <row r="44" spans="1:9" x14ac:dyDescent="0.2">
      <c r="A44" s="2" t="s">
        <v>23</v>
      </c>
    </row>
    <row r="46" spans="1:9" x14ac:dyDescent="0.2">
      <c r="A46" s="1" t="s">
        <v>24</v>
      </c>
    </row>
    <row r="48" spans="1:9" x14ac:dyDescent="0.2">
      <c r="A48" s="12" t="s">
        <v>201</v>
      </c>
      <c r="B48" s="1" t="s">
        <v>202</v>
      </c>
      <c r="C48" s="1">
        <v>3313487430</v>
      </c>
      <c r="E48" s="1" t="s">
        <v>137</v>
      </c>
      <c r="F48" s="1">
        <v>1</v>
      </c>
      <c r="G48" s="1" t="s">
        <v>203</v>
      </c>
      <c r="I48" s="1" t="s">
        <v>204</v>
      </c>
    </row>
    <row r="49" spans="1:9" x14ac:dyDescent="0.2">
      <c r="A49" s="12" t="s">
        <v>205</v>
      </c>
      <c r="B49" s="1" t="s">
        <v>206</v>
      </c>
      <c r="C49" s="1">
        <v>3485639446</v>
      </c>
      <c r="E49" s="1" t="s">
        <v>137</v>
      </c>
      <c r="F49" s="1">
        <v>1</v>
      </c>
      <c r="G49" s="1" t="s">
        <v>207</v>
      </c>
      <c r="I49" s="1" t="s">
        <v>208</v>
      </c>
    </row>
    <row r="50" spans="1:9" x14ac:dyDescent="0.2">
      <c r="A50" s="12" t="s">
        <v>209</v>
      </c>
      <c r="B50" s="1" t="s">
        <v>210</v>
      </c>
      <c r="C50" s="1">
        <v>3346282070</v>
      </c>
      <c r="E50" s="1" t="s">
        <v>137</v>
      </c>
      <c r="F50" s="1">
        <v>1</v>
      </c>
      <c r="G50" s="1" t="s">
        <v>211</v>
      </c>
      <c r="I50" s="1" t="s">
        <v>212</v>
      </c>
    </row>
    <row r="51" spans="1:9" x14ac:dyDescent="0.2">
      <c r="A51" s="12" t="s">
        <v>209</v>
      </c>
      <c r="B51" s="1" t="s">
        <v>213</v>
      </c>
      <c r="C51" s="1">
        <v>3883434659</v>
      </c>
      <c r="E51" s="1" t="s">
        <v>137</v>
      </c>
      <c r="F51" s="1">
        <v>1</v>
      </c>
      <c r="G51" s="1" t="s">
        <v>214</v>
      </c>
      <c r="I51" s="1" t="s">
        <v>215</v>
      </c>
    </row>
    <row r="52" spans="1:9" x14ac:dyDescent="0.2">
      <c r="A52" s="12" t="s">
        <v>216</v>
      </c>
      <c r="B52" s="1" t="s">
        <v>217</v>
      </c>
      <c r="C52" s="1">
        <v>3333996028</v>
      </c>
      <c r="E52" s="1" t="s">
        <v>137</v>
      </c>
      <c r="F52" s="1">
        <v>1</v>
      </c>
      <c r="G52" s="1" t="s">
        <v>218</v>
      </c>
      <c r="I52" s="1" t="s">
        <v>219</v>
      </c>
    </row>
    <row r="53" spans="1:9" x14ac:dyDescent="0.2">
      <c r="A53" s="12" t="s">
        <v>216</v>
      </c>
      <c r="B53" s="1" t="s">
        <v>220</v>
      </c>
      <c r="C53" s="1">
        <v>3394269129</v>
      </c>
      <c r="E53" s="1" t="s">
        <v>140</v>
      </c>
      <c r="F53" s="1">
        <v>1</v>
      </c>
      <c r="G53" s="1" t="s">
        <v>221</v>
      </c>
      <c r="I53" s="1" t="s">
        <v>222</v>
      </c>
    </row>
  </sheetData>
  <mergeCells count="1">
    <mergeCell ref="A22:D2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I64"/>
  <sheetViews>
    <sheetView topLeftCell="A4" workbookViewId="0">
      <selection activeCell="A22" sqref="A22:D22"/>
    </sheetView>
  </sheetViews>
  <sheetFormatPr defaultRowHeight="12.75" x14ac:dyDescent="0.2"/>
  <cols>
    <col min="1" max="1" width="24.7109375" style="1" customWidth="1"/>
    <col min="2" max="6" width="12.7109375" style="1" customWidth="1"/>
    <col min="7" max="16384" width="9.140625" style="1"/>
  </cols>
  <sheetData>
    <row r="9" spans="1:6" x14ac:dyDescent="0.2">
      <c r="A9" s="1" t="s">
        <v>192</v>
      </c>
      <c r="C9" s="1" t="s">
        <v>0</v>
      </c>
      <c r="D9" s="2" t="s">
        <v>1</v>
      </c>
    </row>
    <row r="10" spans="1:6" x14ac:dyDescent="0.2">
      <c r="C10" s="1" t="s">
        <v>2</v>
      </c>
      <c r="D10" s="1" t="s">
        <v>3</v>
      </c>
    </row>
    <row r="13" spans="1:6" x14ac:dyDescent="0.2">
      <c r="A13" s="1" t="s">
        <v>4</v>
      </c>
      <c r="D13" s="1" t="s">
        <v>5</v>
      </c>
      <c r="E13" s="2" t="s">
        <v>141</v>
      </c>
    </row>
    <row r="15" spans="1:6" ht="25.5" x14ac:dyDescent="0.2">
      <c r="A15" s="3" t="s">
        <v>7</v>
      </c>
      <c r="B15" s="3" t="s">
        <v>8</v>
      </c>
      <c r="C15" s="3" t="s">
        <v>9</v>
      </c>
      <c r="D15" s="3" t="s">
        <v>10</v>
      </c>
      <c r="E15" s="3" t="s">
        <v>11</v>
      </c>
      <c r="F15" s="3" t="s">
        <v>12</v>
      </c>
    </row>
    <row r="16" spans="1:6" x14ac:dyDescent="0.2">
      <c r="A16" s="7" t="s">
        <v>198</v>
      </c>
      <c r="B16" s="8">
        <v>18</v>
      </c>
      <c r="C16" s="8">
        <v>5</v>
      </c>
      <c r="D16" s="8">
        <f>B16-C16</f>
        <v>13</v>
      </c>
      <c r="E16" s="9">
        <v>10</v>
      </c>
      <c r="F16" s="9">
        <f>E16*D16</f>
        <v>130</v>
      </c>
    </row>
    <row r="17" spans="1:6" x14ac:dyDescent="0.2">
      <c r="A17" s="7" t="s">
        <v>135</v>
      </c>
      <c r="B17" s="8">
        <v>2</v>
      </c>
      <c r="C17" s="8">
        <v>1</v>
      </c>
      <c r="D17" s="8">
        <f>B17-C17</f>
        <v>1</v>
      </c>
      <c r="E17" s="9">
        <v>20</v>
      </c>
      <c r="F17" s="9">
        <f>E17*D17</f>
        <v>20</v>
      </c>
    </row>
    <row r="18" spans="1:6" x14ac:dyDescent="0.2">
      <c r="A18" s="7" t="s">
        <v>199</v>
      </c>
      <c r="B18" s="8">
        <v>97</v>
      </c>
      <c r="C18" s="8">
        <v>34</v>
      </c>
      <c r="D18" s="8">
        <f>B18-C18</f>
        <v>63</v>
      </c>
      <c r="E18" s="9">
        <v>10</v>
      </c>
      <c r="F18" s="9">
        <f>E18*D18</f>
        <v>630</v>
      </c>
    </row>
    <row r="19" spans="1:6" x14ac:dyDescent="0.2">
      <c r="A19" s="4" t="s">
        <v>140</v>
      </c>
      <c r="B19" s="5">
        <v>1</v>
      </c>
      <c r="C19" s="5">
        <v>0</v>
      </c>
      <c r="D19" s="5">
        <f>B19-C19</f>
        <v>1</v>
      </c>
      <c r="E19" s="6">
        <v>20</v>
      </c>
      <c r="F19" s="9">
        <f>E19*D19</f>
        <v>20</v>
      </c>
    </row>
    <row r="20" spans="1:6" x14ac:dyDescent="0.2">
      <c r="E20" s="10" t="s">
        <v>13</v>
      </c>
      <c r="F20" s="11">
        <f>SUM(F16:F19)</f>
        <v>800</v>
      </c>
    </row>
    <row r="21" spans="1:6" x14ac:dyDescent="0.2">
      <c r="F21" s="10" t="s">
        <v>14</v>
      </c>
    </row>
    <row r="22" spans="1:6" x14ac:dyDescent="0.2">
      <c r="A22" s="24" t="s">
        <v>128</v>
      </c>
      <c r="B22" s="25"/>
      <c r="C22" s="25"/>
      <c r="D22" s="26"/>
    </row>
    <row r="23" spans="1:6" x14ac:dyDescent="0.2">
      <c r="A23" s="1" t="s">
        <v>194</v>
      </c>
    </row>
    <row r="24" spans="1:6" x14ac:dyDescent="0.2">
      <c r="A24" s="1" t="s">
        <v>195</v>
      </c>
    </row>
    <row r="25" spans="1:6" x14ac:dyDescent="0.2">
      <c r="A25" s="1" t="s">
        <v>196</v>
      </c>
    </row>
    <row r="26" spans="1:6" x14ac:dyDescent="0.2">
      <c r="A26" s="1" t="s">
        <v>197</v>
      </c>
    </row>
    <row r="28" spans="1:6" ht="51" x14ac:dyDescent="0.2">
      <c r="A28" s="3" t="s">
        <v>7</v>
      </c>
      <c r="B28" s="3" t="s">
        <v>193</v>
      </c>
      <c r="C28" s="3" t="s">
        <v>124</v>
      </c>
      <c r="D28" s="3" t="s">
        <v>125</v>
      </c>
      <c r="E28" s="18" t="s">
        <v>126</v>
      </c>
      <c r="F28" s="14" t="s">
        <v>127</v>
      </c>
    </row>
    <row r="29" spans="1:6" x14ac:dyDescent="0.2">
      <c r="A29" s="7" t="s">
        <v>133</v>
      </c>
      <c r="B29" s="4">
        <v>0</v>
      </c>
      <c r="C29" s="4">
        <v>5</v>
      </c>
      <c r="D29" s="15">
        <f>SUM(B29+C29)</f>
        <v>5</v>
      </c>
      <c r="E29" s="16">
        <f>SUM(B16-F29)/B16</f>
        <v>0.27777777777777779</v>
      </c>
      <c r="F29" s="17">
        <f>SUM(B16-D29)</f>
        <v>13</v>
      </c>
    </row>
    <row r="30" spans="1:6" x14ac:dyDescent="0.2">
      <c r="A30" s="7" t="s">
        <v>135</v>
      </c>
      <c r="B30" s="4">
        <v>1</v>
      </c>
      <c r="C30" s="4">
        <v>0</v>
      </c>
      <c r="D30" s="15">
        <f t="shared" ref="D30:D31" si="0">SUM(B30+C30)</f>
        <v>1</v>
      </c>
      <c r="E30" s="16">
        <f t="shared" ref="E30:E32" si="1">SUM(B17-F30)/B17</f>
        <v>0.5</v>
      </c>
      <c r="F30" s="17">
        <f t="shared" ref="F30:F32" si="2">SUM(B17-D30)</f>
        <v>1</v>
      </c>
    </row>
    <row r="31" spans="1:6" x14ac:dyDescent="0.2">
      <c r="A31" s="7" t="s">
        <v>137</v>
      </c>
      <c r="B31" s="4">
        <v>21</v>
      </c>
      <c r="C31" s="4">
        <v>13</v>
      </c>
      <c r="D31" s="15">
        <f t="shared" si="0"/>
        <v>34</v>
      </c>
      <c r="E31" s="16">
        <f t="shared" si="1"/>
        <v>0.35051546391752575</v>
      </c>
      <c r="F31" s="17">
        <f t="shared" si="2"/>
        <v>63</v>
      </c>
    </row>
    <row r="32" spans="1:6" x14ac:dyDescent="0.2">
      <c r="A32" s="4" t="s">
        <v>140</v>
      </c>
      <c r="B32" s="4">
        <v>0</v>
      </c>
      <c r="C32" s="4">
        <v>0</v>
      </c>
      <c r="D32" s="15">
        <f t="shared" ref="D32" si="3">SUM(B32+C32)</f>
        <v>0</v>
      </c>
      <c r="E32" s="16">
        <f t="shared" si="1"/>
        <v>0</v>
      </c>
      <c r="F32" s="17">
        <f t="shared" si="2"/>
        <v>1</v>
      </c>
    </row>
    <row r="36" spans="1:1" x14ac:dyDescent="0.2">
      <c r="A36" s="2" t="s">
        <v>15</v>
      </c>
    </row>
    <row r="37" spans="1:1" x14ac:dyDescent="0.2">
      <c r="A37" s="1" t="s">
        <v>16</v>
      </c>
    </row>
    <row r="38" spans="1:1" x14ac:dyDescent="0.2">
      <c r="A38" s="2" t="s">
        <v>17</v>
      </c>
    </row>
    <row r="39" spans="1:1" x14ac:dyDescent="0.2">
      <c r="A39" s="1" t="s">
        <v>18</v>
      </c>
    </row>
    <row r="41" spans="1:1" x14ac:dyDescent="0.2">
      <c r="A41" s="2" t="s">
        <v>19</v>
      </c>
    </row>
    <row r="42" spans="1:1" x14ac:dyDescent="0.2">
      <c r="A42" s="1" t="s">
        <v>20</v>
      </c>
    </row>
    <row r="43" spans="1:1" x14ac:dyDescent="0.2">
      <c r="A43" s="1" t="s">
        <v>21</v>
      </c>
    </row>
    <row r="45" spans="1:1" x14ac:dyDescent="0.2">
      <c r="A45" s="1" t="s">
        <v>22</v>
      </c>
    </row>
    <row r="46" spans="1:1" x14ac:dyDescent="0.2">
      <c r="A46" s="2" t="s">
        <v>23</v>
      </c>
    </row>
    <row r="48" spans="1:1" x14ac:dyDescent="0.2">
      <c r="A48" s="1" t="s">
        <v>24</v>
      </c>
    </row>
    <row r="50" spans="1:9" x14ac:dyDescent="0.2">
      <c r="A50" s="12" t="s">
        <v>142</v>
      </c>
      <c r="B50" s="1" t="s">
        <v>143</v>
      </c>
      <c r="C50" s="1">
        <v>3204406890</v>
      </c>
      <c r="E50" s="1" t="s">
        <v>133</v>
      </c>
      <c r="F50" s="1">
        <v>1</v>
      </c>
      <c r="G50" s="1" t="s">
        <v>90</v>
      </c>
      <c r="I50" s="1" t="s">
        <v>144</v>
      </c>
    </row>
    <row r="51" spans="1:9" x14ac:dyDescent="0.2">
      <c r="A51" s="12" t="s">
        <v>142</v>
      </c>
      <c r="B51" s="1" t="s">
        <v>145</v>
      </c>
      <c r="C51" s="1">
        <v>3283142357</v>
      </c>
      <c r="E51" s="1" t="s">
        <v>133</v>
      </c>
      <c r="F51" s="1">
        <v>1</v>
      </c>
      <c r="G51" s="1" t="s">
        <v>146</v>
      </c>
      <c r="I51" s="1" t="s">
        <v>147</v>
      </c>
    </row>
    <row r="52" spans="1:9" x14ac:dyDescent="0.2">
      <c r="A52" s="12" t="s">
        <v>148</v>
      </c>
      <c r="B52" s="1" t="s">
        <v>149</v>
      </c>
      <c r="C52" s="1">
        <v>3388012157</v>
      </c>
      <c r="E52" s="1" t="s">
        <v>137</v>
      </c>
      <c r="F52" s="1">
        <v>1</v>
      </c>
      <c r="G52" s="1" t="s">
        <v>150</v>
      </c>
      <c r="I52" s="1" t="s">
        <v>151</v>
      </c>
    </row>
    <row r="53" spans="1:9" x14ac:dyDescent="0.2">
      <c r="A53" s="12" t="s">
        <v>148</v>
      </c>
      <c r="B53" s="1" t="s">
        <v>152</v>
      </c>
      <c r="C53" s="1">
        <v>3386011366</v>
      </c>
      <c r="E53" s="1" t="s">
        <v>137</v>
      </c>
      <c r="F53" s="1">
        <v>1</v>
      </c>
      <c r="G53" s="1" t="s">
        <v>153</v>
      </c>
      <c r="I53" s="1" t="s">
        <v>154</v>
      </c>
    </row>
    <row r="54" spans="1:9" x14ac:dyDescent="0.2">
      <c r="A54" s="12" t="s">
        <v>155</v>
      </c>
      <c r="B54" s="1" t="s">
        <v>156</v>
      </c>
      <c r="C54" s="1">
        <v>3487042181</v>
      </c>
      <c r="E54" s="1" t="s">
        <v>137</v>
      </c>
      <c r="F54" s="1">
        <v>1</v>
      </c>
      <c r="G54" s="1" t="s">
        <v>122</v>
      </c>
      <c r="I54" s="1" t="s">
        <v>157</v>
      </c>
    </row>
    <row r="55" spans="1:9" x14ac:dyDescent="0.2">
      <c r="A55" s="12" t="s">
        <v>158</v>
      </c>
      <c r="B55" s="1" t="s">
        <v>159</v>
      </c>
      <c r="C55" s="1">
        <v>3383367896</v>
      </c>
      <c r="E55" s="1" t="s">
        <v>137</v>
      </c>
      <c r="F55" s="1">
        <v>1</v>
      </c>
      <c r="G55" s="1" t="s">
        <v>160</v>
      </c>
      <c r="I55" s="1" t="s">
        <v>161</v>
      </c>
    </row>
    <row r="56" spans="1:9" x14ac:dyDescent="0.2">
      <c r="A56" s="12" t="s">
        <v>162</v>
      </c>
      <c r="B56" s="1" t="s">
        <v>163</v>
      </c>
      <c r="C56" s="1">
        <v>3662886707</v>
      </c>
      <c r="E56" s="1" t="s">
        <v>137</v>
      </c>
      <c r="F56" s="1">
        <v>1</v>
      </c>
      <c r="G56" s="1" t="s">
        <v>164</v>
      </c>
      <c r="I56" s="1" t="s">
        <v>165</v>
      </c>
    </row>
    <row r="57" spans="1:9" x14ac:dyDescent="0.2">
      <c r="A57" s="12" t="s">
        <v>142</v>
      </c>
      <c r="B57" s="1" t="s">
        <v>166</v>
      </c>
      <c r="C57" s="1">
        <v>337931663</v>
      </c>
      <c r="E57" s="1" t="s">
        <v>137</v>
      </c>
      <c r="F57" s="1">
        <v>1</v>
      </c>
      <c r="G57" s="1" t="s">
        <v>167</v>
      </c>
      <c r="I57" s="1" t="s">
        <v>168</v>
      </c>
    </row>
    <row r="58" spans="1:9" x14ac:dyDescent="0.2">
      <c r="A58" s="12" t="s">
        <v>169</v>
      </c>
      <c r="B58" s="1" t="s">
        <v>170</v>
      </c>
      <c r="C58" s="1">
        <v>3289791475</v>
      </c>
      <c r="E58" s="1" t="s">
        <v>137</v>
      </c>
      <c r="F58" s="1">
        <v>1</v>
      </c>
      <c r="G58" s="1" t="s">
        <v>171</v>
      </c>
      <c r="I58" s="1" t="s">
        <v>172</v>
      </c>
    </row>
    <row r="59" spans="1:9" x14ac:dyDescent="0.2">
      <c r="A59" s="12" t="s">
        <v>173</v>
      </c>
      <c r="B59" s="1" t="s">
        <v>174</v>
      </c>
      <c r="C59" s="1">
        <v>3383367896</v>
      </c>
      <c r="E59" s="1" t="s">
        <v>137</v>
      </c>
      <c r="F59" s="1">
        <v>1</v>
      </c>
      <c r="G59" s="1" t="s">
        <v>175</v>
      </c>
      <c r="I59" s="1" t="s">
        <v>161</v>
      </c>
    </row>
    <row r="60" spans="1:9" x14ac:dyDescent="0.2">
      <c r="A60" s="12" t="s">
        <v>176</v>
      </c>
      <c r="B60" s="1" t="s">
        <v>177</v>
      </c>
      <c r="C60" s="1">
        <v>3925597666</v>
      </c>
      <c r="E60" s="1" t="s">
        <v>137</v>
      </c>
      <c r="F60" s="1">
        <v>1</v>
      </c>
      <c r="G60" s="1" t="s">
        <v>178</v>
      </c>
      <c r="I60" s="1" t="s">
        <v>179</v>
      </c>
    </row>
    <row r="61" spans="1:9" x14ac:dyDescent="0.2">
      <c r="A61" s="12" t="s">
        <v>180</v>
      </c>
      <c r="B61" s="1" t="s">
        <v>181</v>
      </c>
      <c r="C61" s="1">
        <v>3683100889</v>
      </c>
      <c r="E61" s="1" t="s">
        <v>137</v>
      </c>
      <c r="F61" s="1">
        <v>1</v>
      </c>
      <c r="G61" s="1" t="s">
        <v>160</v>
      </c>
      <c r="I61" s="1" t="s">
        <v>182</v>
      </c>
    </row>
    <row r="62" spans="1:9" x14ac:dyDescent="0.2">
      <c r="A62" s="12" t="s">
        <v>183</v>
      </c>
      <c r="B62" s="1" t="s">
        <v>184</v>
      </c>
      <c r="C62" s="1">
        <v>3515666553</v>
      </c>
      <c r="E62" s="1" t="s">
        <v>137</v>
      </c>
      <c r="F62" s="1">
        <v>1</v>
      </c>
      <c r="G62" s="1" t="s">
        <v>185</v>
      </c>
      <c r="I62" s="1" t="s">
        <v>186</v>
      </c>
    </row>
    <row r="63" spans="1:9" x14ac:dyDescent="0.2">
      <c r="A63" s="12" t="s">
        <v>180</v>
      </c>
      <c r="B63" s="1" t="s">
        <v>187</v>
      </c>
      <c r="C63" s="1">
        <v>3281631720</v>
      </c>
      <c r="E63" s="1" t="s">
        <v>137</v>
      </c>
      <c r="F63" s="1">
        <v>1</v>
      </c>
      <c r="G63" s="1" t="s">
        <v>37</v>
      </c>
      <c r="I63" s="1" t="s">
        <v>188</v>
      </c>
    </row>
    <row r="64" spans="1:9" x14ac:dyDescent="0.2">
      <c r="A64" s="12" t="s">
        <v>180</v>
      </c>
      <c r="B64" s="1" t="s">
        <v>189</v>
      </c>
      <c r="C64" s="1">
        <v>3402939160</v>
      </c>
      <c r="E64" s="1" t="s">
        <v>137</v>
      </c>
      <c r="F64" s="1">
        <v>1</v>
      </c>
      <c r="G64" s="1" t="s">
        <v>190</v>
      </c>
      <c r="I64" s="1" t="s">
        <v>191</v>
      </c>
    </row>
  </sheetData>
  <mergeCells count="1">
    <mergeCell ref="A22:D2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I96"/>
  <sheetViews>
    <sheetView workbookViewId="0">
      <selection activeCell="I8" sqref="I8"/>
    </sheetView>
  </sheetViews>
  <sheetFormatPr defaultRowHeight="12.75" x14ac:dyDescent="0.2"/>
  <cols>
    <col min="1" max="1" width="34.140625" style="1" customWidth="1"/>
    <col min="2" max="6" width="12.7109375" style="1" customWidth="1"/>
    <col min="7" max="16384" width="9.140625" style="1"/>
  </cols>
  <sheetData>
    <row r="9" spans="1:6" x14ac:dyDescent="0.2">
      <c r="A9" s="1" t="s">
        <v>131</v>
      </c>
      <c r="C9" s="1" t="s">
        <v>0</v>
      </c>
      <c r="D9" s="2" t="s">
        <v>1</v>
      </c>
    </row>
    <row r="10" spans="1:6" x14ac:dyDescent="0.2">
      <c r="C10" s="1" t="s">
        <v>2</v>
      </c>
      <c r="D10" s="1" t="s">
        <v>3</v>
      </c>
    </row>
    <row r="13" spans="1:6" x14ac:dyDescent="0.2">
      <c r="A13" s="1" t="s">
        <v>4</v>
      </c>
      <c r="D13" s="1" t="s">
        <v>5</v>
      </c>
      <c r="E13" s="2" t="s">
        <v>6</v>
      </c>
    </row>
    <row r="15" spans="1:6" ht="25.5" x14ac:dyDescent="0.2">
      <c r="A15" s="3" t="s">
        <v>7</v>
      </c>
      <c r="B15" s="3" t="s">
        <v>8</v>
      </c>
      <c r="C15" s="3" t="s">
        <v>9</v>
      </c>
      <c r="D15" s="3" t="s">
        <v>10</v>
      </c>
      <c r="E15" s="3" t="s">
        <v>11</v>
      </c>
      <c r="F15" s="3" t="s">
        <v>12</v>
      </c>
    </row>
    <row r="16" spans="1:6" x14ac:dyDescent="0.2">
      <c r="A16" s="7" t="s">
        <v>132</v>
      </c>
      <c r="B16" s="8">
        <v>201</v>
      </c>
      <c r="C16" s="8"/>
      <c r="D16" s="8">
        <f>B16-C16</f>
        <v>201</v>
      </c>
      <c r="E16" s="9">
        <v>10</v>
      </c>
      <c r="F16" s="9">
        <f>E16*D16</f>
        <v>2010</v>
      </c>
    </row>
    <row r="17" spans="1:6" x14ac:dyDescent="0.2">
      <c r="A17" s="7" t="s">
        <v>134</v>
      </c>
      <c r="B17" s="8">
        <v>71</v>
      </c>
      <c r="C17" s="8"/>
      <c r="D17" s="8">
        <f>B17-C17</f>
        <v>71</v>
      </c>
      <c r="E17" s="9">
        <v>20</v>
      </c>
      <c r="F17" s="9">
        <f>E17*D17</f>
        <v>1420</v>
      </c>
    </row>
    <row r="18" spans="1:6" x14ac:dyDescent="0.2">
      <c r="A18" s="7" t="s">
        <v>136</v>
      </c>
      <c r="B18" s="8">
        <v>46</v>
      </c>
      <c r="C18" s="8"/>
      <c r="D18" s="8">
        <f>B18-C18</f>
        <v>46</v>
      </c>
      <c r="E18" s="9">
        <v>10</v>
      </c>
      <c r="F18" s="9">
        <f>E18*D18</f>
        <v>460</v>
      </c>
    </row>
    <row r="19" spans="1:6" x14ac:dyDescent="0.2">
      <c r="A19" s="7" t="s">
        <v>138</v>
      </c>
      <c r="B19" s="8">
        <v>40</v>
      </c>
      <c r="C19" s="8"/>
      <c r="D19" s="8">
        <f>B19-C19</f>
        <v>40</v>
      </c>
      <c r="E19" s="9">
        <v>10</v>
      </c>
      <c r="F19" s="9">
        <f>E19*D19</f>
        <v>400</v>
      </c>
    </row>
    <row r="20" spans="1:6" x14ac:dyDescent="0.2">
      <c r="A20" s="4" t="s">
        <v>140</v>
      </c>
      <c r="B20" s="5">
        <v>35</v>
      </c>
      <c r="C20" s="5"/>
      <c r="D20" s="5">
        <f>B20-C20</f>
        <v>35</v>
      </c>
      <c r="E20" s="6">
        <v>20</v>
      </c>
      <c r="F20" s="9">
        <f>E20*D20</f>
        <v>700</v>
      </c>
    </row>
    <row r="21" spans="1:6" x14ac:dyDescent="0.2">
      <c r="E21" s="10" t="s">
        <v>13</v>
      </c>
      <c r="F21" s="11">
        <f>SUM(F16:F20)</f>
        <v>4990</v>
      </c>
    </row>
    <row r="22" spans="1:6" x14ac:dyDescent="0.2">
      <c r="F22" s="10" t="s">
        <v>14</v>
      </c>
    </row>
    <row r="23" spans="1:6" x14ac:dyDescent="0.2">
      <c r="A23" s="24" t="s">
        <v>128</v>
      </c>
      <c r="B23" s="25"/>
      <c r="C23" s="25"/>
      <c r="D23" s="26"/>
    </row>
    <row r="24" spans="1:6" x14ac:dyDescent="0.2">
      <c r="A24" s="27" t="s">
        <v>130</v>
      </c>
      <c r="B24" s="27"/>
      <c r="C24" s="27"/>
      <c r="D24" s="27"/>
    </row>
    <row r="26" spans="1:6" ht="51" x14ac:dyDescent="0.2">
      <c r="A26" s="3" t="s">
        <v>7</v>
      </c>
      <c r="B26" s="3" t="s">
        <v>129</v>
      </c>
      <c r="C26" s="3" t="s">
        <v>124</v>
      </c>
      <c r="D26" s="3" t="s">
        <v>125</v>
      </c>
      <c r="E26" s="13" t="s">
        <v>126</v>
      </c>
      <c r="F26" s="14" t="s">
        <v>127</v>
      </c>
    </row>
    <row r="27" spans="1:6" x14ac:dyDescent="0.2">
      <c r="A27" s="7" t="s">
        <v>133</v>
      </c>
      <c r="B27" s="4">
        <v>28</v>
      </c>
      <c r="C27" s="4">
        <v>36</v>
      </c>
      <c r="D27" s="15">
        <f>SUM(B27+C27)</f>
        <v>64</v>
      </c>
      <c r="E27" s="16">
        <f>SUM(B16-F27)/B16</f>
        <v>0.31840796019900497</v>
      </c>
      <c r="F27" s="17">
        <f>SUM(B16-D27)</f>
        <v>137</v>
      </c>
    </row>
    <row r="28" spans="1:6" x14ac:dyDescent="0.2">
      <c r="A28" s="7" t="s">
        <v>135</v>
      </c>
      <c r="B28" s="4">
        <v>9</v>
      </c>
      <c r="C28" s="4">
        <v>12</v>
      </c>
      <c r="D28" s="15">
        <f t="shared" ref="D28:D29" si="0">SUM(B28+C28)</f>
        <v>21</v>
      </c>
      <c r="E28" s="16">
        <f>SUM(B17-F28)/B17</f>
        <v>0.29577464788732394</v>
      </c>
      <c r="F28" s="17">
        <f>SUM(B17-D28)</f>
        <v>50</v>
      </c>
    </row>
    <row r="29" spans="1:6" x14ac:dyDescent="0.2">
      <c r="A29" s="7" t="s">
        <v>137</v>
      </c>
      <c r="B29" s="4">
        <v>6</v>
      </c>
      <c r="C29" s="4">
        <v>6</v>
      </c>
      <c r="D29" s="15">
        <f t="shared" si="0"/>
        <v>12</v>
      </c>
      <c r="E29" s="16">
        <f>SUM(B18-F29)/B18</f>
        <v>0.2608695652173913</v>
      </c>
      <c r="F29" s="17">
        <f>SUM(B18-D29)</f>
        <v>34</v>
      </c>
    </row>
    <row r="30" spans="1:6" x14ac:dyDescent="0.2">
      <c r="A30" s="7" t="s">
        <v>139</v>
      </c>
      <c r="B30" s="4">
        <v>6</v>
      </c>
      <c r="C30" s="4">
        <v>9</v>
      </c>
      <c r="D30" s="15">
        <f t="shared" ref="D30:D31" si="1">SUM(B30+C30)</f>
        <v>15</v>
      </c>
      <c r="E30" s="16">
        <f>SUM(B19-F30)/B19</f>
        <v>0.375</v>
      </c>
      <c r="F30" s="17">
        <f>SUM(B19-D30)</f>
        <v>25</v>
      </c>
    </row>
    <row r="31" spans="1:6" x14ac:dyDescent="0.2">
      <c r="A31" s="4" t="s">
        <v>140</v>
      </c>
      <c r="B31" s="4">
        <v>4</v>
      </c>
      <c r="C31" s="4">
        <v>6</v>
      </c>
      <c r="D31" s="15">
        <f t="shared" si="1"/>
        <v>10</v>
      </c>
      <c r="E31" s="16">
        <f>SUM(B20-F31)/B20</f>
        <v>0.2857142857142857</v>
      </c>
      <c r="F31" s="17">
        <f>SUM(B20-D31)</f>
        <v>25</v>
      </c>
    </row>
    <row r="48" spans="1:1" x14ac:dyDescent="0.2">
      <c r="A48" s="2" t="s">
        <v>15</v>
      </c>
    </row>
    <row r="49" spans="1:9" x14ac:dyDescent="0.2">
      <c r="A49" s="1" t="s">
        <v>16</v>
      </c>
    </row>
    <row r="50" spans="1:9" x14ac:dyDescent="0.2">
      <c r="A50" s="2" t="s">
        <v>17</v>
      </c>
    </row>
    <row r="51" spans="1:9" x14ac:dyDescent="0.2">
      <c r="A51" s="1" t="s">
        <v>18</v>
      </c>
    </row>
    <row r="53" spans="1:9" x14ac:dyDescent="0.2">
      <c r="A53" s="2" t="s">
        <v>19</v>
      </c>
    </row>
    <row r="54" spans="1:9" x14ac:dyDescent="0.2">
      <c r="A54" s="1" t="s">
        <v>20</v>
      </c>
    </row>
    <row r="55" spans="1:9" x14ac:dyDescent="0.2">
      <c r="A55" s="1" t="s">
        <v>21</v>
      </c>
    </row>
    <row r="57" spans="1:9" x14ac:dyDescent="0.2">
      <c r="A57" s="1" t="s">
        <v>22</v>
      </c>
    </row>
    <row r="58" spans="1:9" x14ac:dyDescent="0.2">
      <c r="A58" s="2" t="s">
        <v>23</v>
      </c>
    </row>
    <row r="60" spans="1:9" x14ac:dyDescent="0.2">
      <c r="A60" s="1" t="s">
        <v>24</v>
      </c>
    </row>
    <row r="62" spans="1:9" x14ac:dyDescent="0.2">
      <c r="A62" s="12" t="s">
        <v>25</v>
      </c>
      <c r="B62" s="1" t="s">
        <v>26</v>
      </c>
      <c r="C62" s="1">
        <v>3272417322</v>
      </c>
      <c r="E62" s="1" t="s">
        <v>133</v>
      </c>
      <c r="F62" s="1">
        <v>1</v>
      </c>
      <c r="G62" s="1" t="s">
        <v>27</v>
      </c>
      <c r="I62" s="1" t="s">
        <v>28</v>
      </c>
    </row>
    <row r="63" spans="1:9" x14ac:dyDescent="0.2">
      <c r="A63" s="12" t="s">
        <v>25</v>
      </c>
      <c r="B63" s="1" t="s">
        <v>29</v>
      </c>
      <c r="C63" s="1">
        <v>3803711608</v>
      </c>
      <c r="E63" s="1" t="s">
        <v>133</v>
      </c>
      <c r="F63" s="1">
        <v>1</v>
      </c>
      <c r="G63" s="1" t="s">
        <v>30</v>
      </c>
      <c r="I63" s="1" t="s">
        <v>31</v>
      </c>
    </row>
    <row r="64" spans="1:9" x14ac:dyDescent="0.2">
      <c r="A64" s="12" t="s">
        <v>32</v>
      </c>
      <c r="B64" s="1" t="s">
        <v>33</v>
      </c>
      <c r="C64" s="1">
        <v>3497566529</v>
      </c>
      <c r="E64" s="1" t="s">
        <v>133</v>
      </c>
      <c r="F64" s="1">
        <v>1</v>
      </c>
      <c r="G64" s="1" t="s">
        <v>34</v>
      </c>
      <c r="I64" s="1" t="s">
        <v>35</v>
      </c>
    </row>
    <row r="65" spans="1:9" x14ac:dyDescent="0.2">
      <c r="A65" s="12" t="s">
        <v>25</v>
      </c>
      <c r="B65" s="1" t="s">
        <v>36</v>
      </c>
      <c r="C65" s="1">
        <v>3382040350</v>
      </c>
      <c r="E65" s="1" t="s">
        <v>133</v>
      </c>
      <c r="F65" s="1">
        <v>1</v>
      </c>
      <c r="G65" s="1" t="s">
        <v>37</v>
      </c>
      <c r="I65" s="1" t="s">
        <v>38</v>
      </c>
    </row>
    <row r="66" spans="1:9" x14ac:dyDescent="0.2">
      <c r="A66" s="12" t="s">
        <v>25</v>
      </c>
      <c r="B66" s="1" t="s">
        <v>26</v>
      </c>
      <c r="C66" s="1">
        <v>3272417322</v>
      </c>
      <c r="E66" s="1" t="s">
        <v>133</v>
      </c>
      <c r="F66" s="1">
        <v>1</v>
      </c>
      <c r="G66" s="1" t="s">
        <v>27</v>
      </c>
      <c r="I66" s="1" t="s">
        <v>28</v>
      </c>
    </row>
    <row r="67" spans="1:9" x14ac:dyDescent="0.2">
      <c r="A67" s="12" t="s">
        <v>25</v>
      </c>
      <c r="B67" s="1" t="s">
        <v>39</v>
      </c>
      <c r="C67" s="1">
        <v>3703545451</v>
      </c>
      <c r="E67" s="1" t="s">
        <v>133</v>
      </c>
      <c r="F67" s="1">
        <v>1</v>
      </c>
      <c r="G67" s="1" t="s">
        <v>40</v>
      </c>
      <c r="I67" s="1" t="s">
        <v>41</v>
      </c>
    </row>
    <row r="68" spans="1:9" x14ac:dyDescent="0.2">
      <c r="A68" s="12" t="s">
        <v>25</v>
      </c>
      <c r="B68" s="1" t="s">
        <v>42</v>
      </c>
      <c r="C68" s="1">
        <v>3396870180</v>
      </c>
      <c r="E68" s="1" t="s">
        <v>133</v>
      </c>
      <c r="F68" s="1">
        <v>1</v>
      </c>
      <c r="G68" s="1" t="s">
        <v>43</v>
      </c>
      <c r="I68" s="1" t="s">
        <v>44</v>
      </c>
    </row>
    <row r="69" spans="1:9" x14ac:dyDescent="0.2">
      <c r="A69" s="12" t="s">
        <v>45</v>
      </c>
      <c r="B69" s="1" t="s">
        <v>46</v>
      </c>
      <c r="C69" s="1">
        <v>3403394411</v>
      </c>
      <c r="E69" s="1" t="s">
        <v>133</v>
      </c>
      <c r="F69" s="1">
        <v>1</v>
      </c>
      <c r="G69" s="1" t="s">
        <v>47</v>
      </c>
      <c r="I69" s="1" t="s">
        <v>48</v>
      </c>
    </row>
    <row r="70" spans="1:9" x14ac:dyDescent="0.2">
      <c r="A70" s="12" t="s">
        <v>45</v>
      </c>
      <c r="B70" s="1" t="s">
        <v>46</v>
      </c>
      <c r="C70" s="1">
        <v>3403394411</v>
      </c>
      <c r="E70" s="1" t="s">
        <v>133</v>
      </c>
      <c r="F70" s="1">
        <v>1</v>
      </c>
      <c r="G70" s="1" t="s">
        <v>43</v>
      </c>
      <c r="I70" s="1" t="s">
        <v>48</v>
      </c>
    </row>
    <row r="71" spans="1:9" x14ac:dyDescent="0.2">
      <c r="A71" s="12" t="s">
        <v>45</v>
      </c>
      <c r="B71" s="1" t="s">
        <v>49</v>
      </c>
      <c r="C71" s="1">
        <v>3494757086</v>
      </c>
      <c r="E71" s="1" t="s">
        <v>133</v>
      </c>
      <c r="F71" s="1">
        <v>1</v>
      </c>
      <c r="G71" s="1" t="s">
        <v>50</v>
      </c>
      <c r="I71" s="1" t="s">
        <v>51</v>
      </c>
    </row>
    <row r="72" spans="1:9" x14ac:dyDescent="0.2">
      <c r="A72" s="12" t="s">
        <v>52</v>
      </c>
      <c r="B72" s="1" t="s">
        <v>53</v>
      </c>
      <c r="C72" s="1">
        <v>3487820731</v>
      </c>
      <c r="E72" s="1" t="s">
        <v>133</v>
      </c>
      <c r="F72" s="1">
        <v>1</v>
      </c>
      <c r="G72" s="1" t="s">
        <v>54</v>
      </c>
      <c r="I72" s="1" t="s">
        <v>55</v>
      </c>
    </row>
    <row r="73" spans="1:9" x14ac:dyDescent="0.2">
      <c r="A73" s="12" t="s">
        <v>52</v>
      </c>
      <c r="B73" s="1" t="s">
        <v>56</v>
      </c>
      <c r="C73" s="1">
        <v>3737225402</v>
      </c>
      <c r="E73" s="1" t="s">
        <v>133</v>
      </c>
      <c r="F73" s="1">
        <v>1</v>
      </c>
      <c r="G73" s="1" t="s">
        <v>57</v>
      </c>
      <c r="I73" s="1" t="s">
        <v>58</v>
      </c>
    </row>
    <row r="74" spans="1:9" x14ac:dyDescent="0.2">
      <c r="A74" s="12" t="s">
        <v>59</v>
      </c>
      <c r="B74" s="1" t="s">
        <v>60</v>
      </c>
      <c r="C74" s="1">
        <v>3348908648</v>
      </c>
      <c r="E74" s="1" t="s">
        <v>133</v>
      </c>
      <c r="F74" s="1">
        <v>1</v>
      </c>
      <c r="G74" s="1" t="s">
        <v>61</v>
      </c>
      <c r="I74" s="1" t="s">
        <v>62</v>
      </c>
    </row>
    <row r="75" spans="1:9" x14ac:dyDescent="0.2">
      <c r="A75" s="12" t="s">
        <v>59</v>
      </c>
      <c r="B75" s="1" t="s">
        <v>63</v>
      </c>
      <c r="C75" s="1">
        <v>3477286366</v>
      </c>
      <c r="E75" s="1" t="s">
        <v>133</v>
      </c>
      <c r="F75" s="1">
        <v>1</v>
      </c>
      <c r="G75" s="1" t="s">
        <v>64</v>
      </c>
      <c r="I75" s="1" t="s">
        <v>65</v>
      </c>
    </row>
    <row r="76" spans="1:9" x14ac:dyDescent="0.2">
      <c r="A76" s="12" t="s">
        <v>66</v>
      </c>
      <c r="B76" s="1" t="s">
        <v>67</v>
      </c>
      <c r="C76" s="1">
        <v>3775018826</v>
      </c>
      <c r="E76" s="1" t="s">
        <v>133</v>
      </c>
      <c r="F76" s="1">
        <v>1</v>
      </c>
      <c r="G76" s="1" t="s">
        <v>68</v>
      </c>
      <c r="I76" s="1" t="s">
        <v>69</v>
      </c>
    </row>
    <row r="77" spans="1:9" x14ac:dyDescent="0.2">
      <c r="A77" s="12" t="s">
        <v>70</v>
      </c>
      <c r="B77" s="1" t="s">
        <v>71</v>
      </c>
      <c r="C77" s="1">
        <v>3929645482</v>
      </c>
      <c r="E77" s="1" t="s">
        <v>133</v>
      </c>
      <c r="F77" s="1">
        <v>1</v>
      </c>
      <c r="G77" s="1" t="s">
        <v>27</v>
      </c>
      <c r="I77" s="1" t="s">
        <v>72</v>
      </c>
    </row>
    <row r="78" spans="1:9" x14ac:dyDescent="0.2">
      <c r="A78" s="12" t="s">
        <v>73</v>
      </c>
      <c r="B78" s="1" t="s">
        <v>74</v>
      </c>
      <c r="C78" s="1">
        <v>3387681547</v>
      </c>
      <c r="E78" s="1" t="s">
        <v>133</v>
      </c>
      <c r="F78" s="1">
        <v>1</v>
      </c>
      <c r="G78" s="1" t="s">
        <v>27</v>
      </c>
      <c r="I78" s="1" t="s">
        <v>75</v>
      </c>
    </row>
    <row r="79" spans="1:9" x14ac:dyDescent="0.2">
      <c r="A79" s="12" t="s">
        <v>66</v>
      </c>
      <c r="B79" s="1" t="s">
        <v>67</v>
      </c>
      <c r="C79" s="1">
        <v>3775018826</v>
      </c>
      <c r="E79" s="1" t="s">
        <v>133</v>
      </c>
      <c r="F79" s="1">
        <v>1</v>
      </c>
      <c r="G79" s="1" t="s">
        <v>68</v>
      </c>
      <c r="I79" s="1" t="s">
        <v>69</v>
      </c>
    </row>
    <row r="80" spans="1:9" x14ac:dyDescent="0.2">
      <c r="A80" s="12" t="s">
        <v>76</v>
      </c>
      <c r="B80" s="1" t="s">
        <v>77</v>
      </c>
      <c r="C80" s="1">
        <v>3383298893</v>
      </c>
      <c r="E80" s="1" t="s">
        <v>133</v>
      </c>
      <c r="F80" s="1">
        <v>1</v>
      </c>
      <c r="G80" s="1" t="s">
        <v>78</v>
      </c>
      <c r="H80" s="1" t="s">
        <v>79</v>
      </c>
      <c r="I80" s="1" t="s">
        <v>80</v>
      </c>
    </row>
    <row r="81" spans="1:9" x14ac:dyDescent="0.2">
      <c r="A81" s="12" t="s">
        <v>81</v>
      </c>
      <c r="B81" s="1" t="s">
        <v>82</v>
      </c>
      <c r="C81" s="1">
        <v>3470885638</v>
      </c>
      <c r="E81" s="1" t="s">
        <v>133</v>
      </c>
      <c r="F81" s="1">
        <v>1</v>
      </c>
      <c r="G81" s="1" t="s">
        <v>83</v>
      </c>
      <c r="I81" s="1" t="s">
        <v>84</v>
      </c>
    </row>
    <row r="82" spans="1:9" x14ac:dyDescent="0.2">
      <c r="A82" s="12" t="s">
        <v>81</v>
      </c>
      <c r="B82" s="1" t="s">
        <v>85</v>
      </c>
      <c r="C82" s="1">
        <v>3333893733</v>
      </c>
      <c r="E82" s="1" t="s">
        <v>133</v>
      </c>
      <c r="F82" s="1">
        <v>1</v>
      </c>
      <c r="G82" s="1" t="s">
        <v>86</v>
      </c>
      <c r="I82" s="1" t="s">
        <v>87</v>
      </c>
    </row>
    <row r="83" spans="1:9" x14ac:dyDescent="0.2">
      <c r="A83" s="12" t="s">
        <v>88</v>
      </c>
      <c r="B83" s="1" t="s">
        <v>89</v>
      </c>
      <c r="C83" s="1">
        <v>3395976626</v>
      </c>
      <c r="E83" s="1" t="s">
        <v>133</v>
      </c>
      <c r="F83" s="1">
        <v>1</v>
      </c>
      <c r="G83" s="1" t="s">
        <v>90</v>
      </c>
      <c r="I83" s="1" t="s">
        <v>91</v>
      </c>
    </row>
    <row r="84" spans="1:9" x14ac:dyDescent="0.2">
      <c r="A84" s="12" t="s">
        <v>70</v>
      </c>
      <c r="B84" s="1" t="s">
        <v>92</v>
      </c>
      <c r="D84" s="1">
        <v>815513351</v>
      </c>
      <c r="E84" s="1" t="s">
        <v>133</v>
      </c>
      <c r="F84" s="1">
        <v>1</v>
      </c>
      <c r="G84" s="1" t="s">
        <v>93</v>
      </c>
      <c r="I84" s="1" t="s">
        <v>94</v>
      </c>
    </row>
    <row r="85" spans="1:9" x14ac:dyDescent="0.2">
      <c r="A85" s="12" t="s">
        <v>95</v>
      </c>
      <c r="B85" s="1" t="s">
        <v>96</v>
      </c>
      <c r="C85" s="1">
        <v>3497599779</v>
      </c>
      <c r="E85" s="1" t="s">
        <v>135</v>
      </c>
      <c r="F85" s="1">
        <v>1</v>
      </c>
      <c r="G85" s="1" t="s">
        <v>68</v>
      </c>
      <c r="I85" s="1" t="s">
        <v>97</v>
      </c>
    </row>
    <row r="86" spans="1:9" x14ac:dyDescent="0.2">
      <c r="A86" s="12" t="s">
        <v>95</v>
      </c>
      <c r="B86" s="1" t="s">
        <v>98</v>
      </c>
      <c r="C86" s="1">
        <v>3398015834</v>
      </c>
      <c r="E86" s="1" t="s">
        <v>135</v>
      </c>
      <c r="F86" s="1">
        <v>1</v>
      </c>
      <c r="G86" s="1" t="s">
        <v>99</v>
      </c>
      <c r="I86" s="1" t="s">
        <v>100</v>
      </c>
    </row>
    <row r="87" spans="1:9" x14ac:dyDescent="0.2">
      <c r="A87" s="12" t="s">
        <v>66</v>
      </c>
      <c r="B87" s="1" t="s">
        <v>101</v>
      </c>
      <c r="C87" s="1">
        <v>3357233787</v>
      </c>
      <c r="E87" s="1" t="s">
        <v>135</v>
      </c>
      <c r="F87" s="1">
        <v>1</v>
      </c>
      <c r="G87" s="1" t="s">
        <v>102</v>
      </c>
      <c r="I87" s="1" t="s">
        <v>103</v>
      </c>
    </row>
    <row r="88" spans="1:9" x14ac:dyDescent="0.2">
      <c r="A88" s="12" t="s">
        <v>73</v>
      </c>
      <c r="B88" s="1" t="s">
        <v>96</v>
      </c>
      <c r="C88" s="1">
        <v>3497599779</v>
      </c>
      <c r="E88" s="1" t="s">
        <v>135</v>
      </c>
      <c r="F88" s="1">
        <v>1</v>
      </c>
      <c r="G88" s="1" t="s">
        <v>104</v>
      </c>
      <c r="I88" s="1" t="s">
        <v>97</v>
      </c>
    </row>
    <row r="89" spans="1:9" x14ac:dyDescent="0.2">
      <c r="A89" s="12" t="s">
        <v>32</v>
      </c>
      <c r="B89" s="1" t="s">
        <v>105</v>
      </c>
      <c r="C89" s="1">
        <v>3471432987</v>
      </c>
      <c r="E89" s="1" t="s">
        <v>135</v>
      </c>
      <c r="F89" s="1">
        <v>1</v>
      </c>
      <c r="G89" s="1" t="s">
        <v>50</v>
      </c>
      <c r="I89" s="1" t="s">
        <v>106</v>
      </c>
    </row>
    <row r="90" spans="1:9" x14ac:dyDescent="0.2">
      <c r="A90" s="12" t="s">
        <v>70</v>
      </c>
      <c r="B90" s="1" t="s">
        <v>107</v>
      </c>
      <c r="C90" s="1">
        <v>3384642709</v>
      </c>
      <c r="E90" s="1" t="s">
        <v>135</v>
      </c>
      <c r="F90" s="1">
        <v>1</v>
      </c>
      <c r="G90" s="1" t="s">
        <v>93</v>
      </c>
      <c r="I90" s="1" t="s">
        <v>108</v>
      </c>
    </row>
    <row r="91" spans="1:9" x14ac:dyDescent="0.2">
      <c r="A91" s="12" t="s">
        <v>45</v>
      </c>
      <c r="B91" s="1" t="s">
        <v>109</v>
      </c>
      <c r="C91" s="1">
        <v>3346147068</v>
      </c>
      <c r="E91" s="1" t="s">
        <v>137</v>
      </c>
      <c r="F91" s="1">
        <v>1</v>
      </c>
      <c r="G91" s="1" t="s">
        <v>110</v>
      </c>
      <c r="I91" s="1" t="s">
        <v>111</v>
      </c>
    </row>
    <row r="92" spans="1:9" x14ac:dyDescent="0.2">
      <c r="A92" s="12" t="s">
        <v>25</v>
      </c>
      <c r="B92" s="1" t="s">
        <v>112</v>
      </c>
      <c r="C92" s="1">
        <v>3382906619</v>
      </c>
      <c r="E92" s="1" t="s">
        <v>139</v>
      </c>
      <c r="F92" s="1">
        <v>1</v>
      </c>
      <c r="G92" s="1" t="s">
        <v>113</v>
      </c>
      <c r="I92" s="1" t="s">
        <v>114</v>
      </c>
    </row>
    <row r="93" spans="1:9" x14ac:dyDescent="0.2">
      <c r="A93" s="12" t="s">
        <v>25</v>
      </c>
      <c r="B93" s="1" t="s">
        <v>115</v>
      </c>
      <c r="C93" s="1">
        <v>3383182228</v>
      </c>
      <c r="E93" s="1" t="s">
        <v>139</v>
      </c>
      <c r="F93" s="1">
        <v>1</v>
      </c>
      <c r="G93" s="1" t="s">
        <v>116</v>
      </c>
      <c r="I93" s="1" t="s">
        <v>117</v>
      </c>
    </row>
    <row r="94" spans="1:9" x14ac:dyDescent="0.2">
      <c r="A94" s="12" t="s">
        <v>118</v>
      </c>
      <c r="B94" s="1" t="s">
        <v>119</v>
      </c>
      <c r="C94" s="1">
        <v>3473922010</v>
      </c>
      <c r="E94" s="1" t="s">
        <v>139</v>
      </c>
      <c r="F94" s="1">
        <v>1</v>
      </c>
      <c r="G94" s="1" t="s">
        <v>104</v>
      </c>
      <c r="I94" s="1" t="s">
        <v>120</v>
      </c>
    </row>
    <row r="95" spans="1:9" x14ac:dyDescent="0.2">
      <c r="A95" s="12" t="s">
        <v>121</v>
      </c>
      <c r="B95" s="1" t="s">
        <v>112</v>
      </c>
      <c r="C95" s="1">
        <v>3382906619</v>
      </c>
      <c r="E95" s="1" t="s">
        <v>139</v>
      </c>
      <c r="F95" s="1">
        <v>1</v>
      </c>
      <c r="G95" s="1" t="s">
        <v>122</v>
      </c>
      <c r="I95" s="1" t="s">
        <v>114</v>
      </c>
    </row>
    <row r="96" spans="1:9" x14ac:dyDescent="0.2">
      <c r="A96" s="12" t="s">
        <v>123</v>
      </c>
      <c r="B96" s="1" t="s">
        <v>112</v>
      </c>
      <c r="C96" s="1">
        <v>3382906619</v>
      </c>
      <c r="E96" s="1" t="s">
        <v>139</v>
      </c>
      <c r="F96" s="1">
        <v>1</v>
      </c>
      <c r="G96" s="1" t="s">
        <v>27</v>
      </c>
      <c r="I96" s="1" t="s">
        <v>114</v>
      </c>
    </row>
  </sheetData>
  <mergeCells count="2">
    <mergeCell ref="A23:D23"/>
    <mergeCell ref="A24:D24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marzo-26</vt:lpstr>
      <vt:lpstr>febbraio-26</vt:lpstr>
      <vt:lpstr>gennaio-26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Utente Windows</cp:lastModifiedBy>
  <cp:lastPrinted>2014-04-14T13:17:49Z</cp:lastPrinted>
  <dcterms:created xsi:type="dcterms:W3CDTF">2009-03-24T15:39:50Z</dcterms:created>
  <dcterms:modified xsi:type="dcterms:W3CDTF">2026-04-22T13:27:43Z</dcterms:modified>
</cp:coreProperties>
</file>